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DIA\Desktop\Projetos\DIO\Excel\"/>
    </mc:Choice>
  </mc:AlternateContent>
  <bookViews>
    <workbookView xWindow="0" yWindow="0" windowWidth="28800" windowHeight="12330"/>
  </bookViews>
  <sheets>
    <sheet name="Planilha1" sheetId="1" r:id="rId1"/>
    <sheet name="Planilha2" sheetId="2" r:id="rId2"/>
  </sheets>
  <definedNames>
    <definedName name="Salário">Planilha1!$E$4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12" i="1"/>
  <c r="E13" i="1" s="1"/>
  <c r="E23" i="1" l="1"/>
  <c r="D17" i="1"/>
  <c r="E17" i="1" s="1"/>
  <c r="D18" i="1"/>
  <c r="E18" i="1" s="1"/>
  <c r="D19" i="1"/>
  <c r="E19" i="1" s="1"/>
  <c r="D20" i="1"/>
  <c r="E20" i="1" s="1"/>
  <c r="D16" i="1"/>
  <c r="E16" i="1" s="1"/>
  <c r="B8" i="2" l="1"/>
  <c r="D29" i="1" s="1"/>
  <c r="B14" i="2"/>
  <c r="B15" i="2"/>
  <c r="B16" i="2"/>
  <c r="B17" i="2"/>
  <c r="B18" i="2"/>
  <c r="B19" i="2"/>
  <c r="B20" i="2"/>
  <c r="B21" i="2"/>
  <c r="B22" i="2"/>
  <c r="B23" i="2"/>
  <c r="B24" i="2"/>
  <c r="B25" i="2"/>
  <c r="B9" i="2"/>
  <c r="B10" i="2"/>
  <c r="B11" i="2"/>
  <c r="B12" i="2"/>
  <c r="B13" i="2"/>
  <c r="D31" i="1" l="1"/>
  <c r="E31" i="1" s="1"/>
  <c r="D27" i="1"/>
  <c r="E27" i="1" s="1"/>
  <c r="D30" i="1"/>
  <c r="E30" i="1" s="1"/>
  <c r="D26" i="1"/>
  <c r="E26" i="1" s="1"/>
  <c r="H8" i="2"/>
  <c r="D28" i="1"/>
  <c r="E28" i="1" s="1"/>
  <c r="E29" i="1"/>
  <c r="E32" i="1" l="1"/>
</calcChain>
</file>

<file path=xl/sharedStrings.xml><?xml version="1.0" encoding="utf-8"?>
<sst xmlns="http://schemas.openxmlformats.org/spreadsheetml/2006/main" count="73" uniqueCount="37">
  <si>
    <t>Anos de investimento</t>
  </si>
  <si>
    <t>Valor investido mensal</t>
  </si>
  <si>
    <t>Taxa de rendimento mensal</t>
  </si>
  <si>
    <t>Total de patrimônio adquirido</t>
  </si>
  <si>
    <t>Dividendo mensal</t>
  </si>
  <si>
    <t>Salário</t>
  </si>
  <si>
    <t>Rendimento carteira</t>
  </si>
  <si>
    <t>Perfil</t>
  </si>
  <si>
    <t>Moderado</t>
  </si>
  <si>
    <t>Valor a ser investido por mês</t>
  </si>
  <si>
    <t>Cenários</t>
  </si>
  <si>
    <t>Em 2 anos</t>
  </si>
  <si>
    <t>Em 5 anos</t>
  </si>
  <si>
    <t>Em 10 anos</t>
  </si>
  <si>
    <t>Em 20 anos</t>
  </si>
  <si>
    <t>Em 30 anos</t>
  </si>
  <si>
    <t>Configurações</t>
  </si>
  <si>
    <t>Investimento mensal</t>
  </si>
  <si>
    <t>Tipos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</si>
  <si>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</si>
  <si>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</si>
  <si>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</si>
  <si>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</si>
  <si>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</si>
  <si>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</si>
  <si>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</si>
  <si>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</si>
  <si>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</si>
  <si>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Consevador</t>
  </si>
  <si>
    <t>%</t>
  </si>
  <si>
    <t>TIPO DE FFI</t>
  </si>
  <si>
    <t>PERFIL</t>
  </si>
  <si>
    <t>CHAVE</t>
  </si>
  <si>
    <t>Agressivo</t>
  </si>
  <si>
    <t>Sugestão de investimento (30%)</t>
  </si>
  <si>
    <t>Dividendo</t>
  </si>
  <si>
    <t>Consevador-TIJOLO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</si>
</sst>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57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theme="2" tint="-9.9948118533890809E-2"/>
      </right>
      <top style="thick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1"/>
      </right>
      <top style="thick">
        <color theme="1"/>
      </top>
      <bottom style="thin">
        <color theme="2" tint="-9.9948118533890809E-2"/>
      </bottom>
      <diagonal/>
    </border>
    <border>
      <left style="thick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1"/>
      </left>
      <right style="thin">
        <color theme="2" tint="-9.9948118533890809E-2"/>
      </right>
      <top style="thin">
        <color theme="2" tint="-9.9948118533890809E-2"/>
      </top>
      <bottom style="thick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1"/>
      </bottom>
      <diagonal/>
    </border>
    <border>
      <left style="thin">
        <color theme="2" tint="-9.9948118533890809E-2"/>
      </left>
      <right style="thick">
        <color theme="1"/>
      </right>
      <top style="thin">
        <color theme="2" tint="-9.9948118533890809E-2"/>
      </top>
      <bottom style="thick">
        <color theme="1"/>
      </bottom>
      <diagonal/>
    </border>
    <border>
      <left style="thin">
        <color theme="2" tint="-9.9948118533890809E-2"/>
      </left>
      <right style="thick">
        <color theme="1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thick">
        <color theme="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1"/>
      </left>
      <right style="thin">
        <color theme="2" tint="-0.24994659260841701"/>
      </right>
      <top style="thin">
        <color theme="2" tint="-0.24994659260841701"/>
      </top>
      <bottom style="thick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1"/>
      </bottom>
      <diagonal/>
    </border>
    <border>
      <left style="thin">
        <color theme="2" tint="-0.24994659260841701"/>
      </left>
      <right style="thick">
        <color theme="1"/>
      </right>
      <top style="thin">
        <color theme="2" tint="-0.24994659260841701"/>
      </top>
      <bottom style="thick">
        <color theme="1"/>
      </bottom>
      <diagonal/>
    </border>
    <border>
      <left style="thick">
        <color auto="1"/>
      </left>
      <right style="thin">
        <color theme="2" tint="-9.9948118533890809E-2"/>
      </right>
      <top style="thick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auto="1"/>
      </right>
      <top style="thick">
        <color auto="1"/>
      </top>
      <bottom style="thin">
        <color theme="2" tint="-9.9948118533890809E-2"/>
      </bottom>
      <diagonal/>
    </border>
    <border>
      <left style="thick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auto="1"/>
      </left>
      <right style="thin">
        <color theme="2" tint="-9.9948118533890809E-2"/>
      </right>
      <top style="thin">
        <color theme="2" tint="-9.9948118533890809E-2"/>
      </top>
      <bottom style="thick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auto="1"/>
      </bottom>
      <diagonal/>
    </border>
    <border>
      <left style="thin">
        <color theme="2" tint="-9.9948118533890809E-2"/>
      </left>
      <right style="thick">
        <color auto="1"/>
      </right>
      <top style="thin">
        <color theme="2" tint="-9.9948118533890809E-2"/>
      </top>
      <bottom style="thick">
        <color auto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medium">
        <color indexed="64"/>
      </bottom>
      <diagonal/>
    </border>
    <border>
      <left/>
      <right style="thick">
        <color theme="1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ck">
        <color theme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1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ck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1"/>
      </left>
      <right/>
      <top style="thin">
        <color theme="2" tint="-9.9948118533890809E-2"/>
      </top>
      <bottom style="thick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ck">
        <color theme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auto="1"/>
      </bottom>
      <diagonal/>
    </border>
    <border>
      <left/>
      <right/>
      <top style="thick">
        <color theme="1"/>
      </top>
      <bottom style="thick">
        <color auto="1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4" borderId="6" xfId="0" applyFill="1" applyBorder="1"/>
    <xf numFmtId="0" fontId="0" fillId="4" borderId="7" xfId="0" applyFill="1" applyBorder="1"/>
    <xf numFmtId="164" fontId="0" fillId="4" borderId="11" xfId="1" applyNumberFormat="1" applyFont="1" applyFill="1" applyBorder="1" applyAlignment="1">
      <alignment horizontal="center"/>
    </xf>
    <xf numFmtId="164" fontId="0" fillId="4" borderId="13" xfId="1" applyNumberFormat="1" applyFont="1" applyFill="1" applyBorder="1" applyAlignment="1">
      <alignment horizontal="center"/>
    </xf>
    <xf numFmtId="0" fontId="0" fillId="4" borderId="9" xfId="0" applyFill="1" applyBorder="1"/>
    <xf numFmtId="0" fontId="0" fillId="4" borderId="12" xfId="0" applyFill="1" applyBorder="1"/>
    <xf numFmtId="0" fontId="0" fillId="6" borderId="14" xfId="0" applyFill="1" applyBorder="1"/>
    <xf numFmtId="164" fontId="0" fillId="4" borderId="16" xfId="0" applyNumberFormat="1" applyFill="1" applyBorder="1" applyAlignment="1">
      <alignment horizontal="center"/>
    </xf>
    <xf numFmtId="8" fontId="0" fillId="4" borderId="19" xfId="0" applyNumberFormat="1" applyFill="1" applyBorder="1" applyAlignment="1">
      <alignment horizontal="center"/>
    </xf>
    <xf numFmtId="8" fontId="0" fillId="4" borderId="22" xfId="0" applyNumberFormat="1" applyFill="1" applyBorder="1" applyAlignment="1">
      <alignment horizontal="center"/>
    </xf>
    <xf numFmtId="0" fontId="4" fillId="3" borderId="5" xfId="4" applyFont="1" applyBorder="1" applyAlignment="1">
      <alignment horizontal="center" vertical="center"/>
    </xf>
    <xf numFmtId="0" fontId="0" fillId="4" borderId="23" xfId="0" applyFill="1" applyBorder="1" applyAlignment="1"/>
    <xf numFmtId="164" fontId="0" fillId="4" borderId="24" xfId="1" applyNumberFormat="1" applyFont="1" applyFill="1" applyBorder="1" applyAlignment="1">
      <alignment horizontal="center"/>
    </xf>
    <xf numFmtId="164" fontId="0" fillId="4" borderId="25" xfId="1" applyNumberFormat="1" applyFont="1" applyFill="1" applyBorder="1" applyAlignment="1">
      <alignment horizontal="center"/>
    </xf>
    <xf numFmtId="0" fontId="0" fillId="4" borderId="26" xfId="0" applyFill="1" applyBorder="1" applyAlignment="1"/>
    <xf numFmtId="164" fontId="0" fillId="4" borderId="1" xfId="1" applyNumberFormat="1" applyFont="1" applyFill="1" applyBorder="1" applyAlignment="1">
      <alignment horizontal="center"/>
    </xf>
    <xf numFmtId="164" fontId="0" fillId="4" borderId="27" xfId="1" applyNumberFormat="1" applyFont="1" applyFill="1" applyBorder="1" applyAlignment="1">
      <alignment horizontal="center"/>
    </xf>
    <xf numFmtId="0" fontId="0" fillId="4" borderId="28" xfId="0" applyFill="1" applyBorder="1" applyAlignment="1"/>
    <xf numFmtId="164" fontId="0" fillId="4" borderId="29" xfId="1" applyNumberFormat="1" applyFont="1" applyFill="1" applyBorder="1" applyAlignment="1">
      <alignment horizontal="center"/>
    </xf>
    <xf numFmtId="164" fontId="0" fillId="4" borderId="30" xfId="1" applyNumberFormat="1" applyFont="1" applyFill="1" applyBorder="1" applyAlignment="1">
      <alignment horizontal="center"/>
    </xf>
    <xf numFmtId="164" fontId="0" fillId="6" borderId="16" xfId="0" applyNumberFormat="1" applyFill="1" applyBorder="1" applyAlignment="1">
      <alignment horizontal="center"/>
    </xf>
    <xf numFmtId="9" fontId="0" fillId="4" borderId="10" xfId="2" applyFont="1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2" fillId="6" borderId="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1" fillId="9" borderId="2" xfId="7" applyBorder="1" applyAlignment="1">
      <alignment horizontal="center"/>
    </xf>
    <xf numFmtId="0" fontId="2" fillId="8" borderId="3" xfId="6" applyFont="1" applyBorder="1"/>
    <xf numFmtId="0" fontId="2" fillId="8" borderId="4" xfId="6" applyFont="1" applyBorder="1" applyAlignment="1">
      <alignment horizontal="center"/>
    </xf>
    <xf numFmtId="0" fontId="2" fillId="8" borderId="5" xfId="6" applyFont="1" applyBorder="1" applyAlignment="1">
      <alignment horizontal="center"/>
    </xf>
    <xf numFmtId="0" fontId="1" fillId="9" borderId="31" xfId="7" applyBorder="1"/>
    <xf numFmtId="0" fontId="1" fillId="9" borderId="0" xfId="7" applyBorder="1" applyAlignment="1">
      <alignment horizontal="center"/>
    </xf>
    <xf numFmtId="9" fontId="1" fillId="9" borderId="32" xfId="7" applyNumberFormat="1" applyBorder="1" applyAlignment="1">
      <alignment horizontal="center"/>
    </xf>
    <xf numFmtId="0" fontId="1" fillId="9" borderId="33" xfId="7" applyBorder="1"/>
    <xf numFmtId="9" fontId="1" fillId="9" borderId="34" xfId="7" applyNumberFormat="1" applyBorder="1" applyAlignment="1">
      <alignment horizontal="center"/>
    </xf>
    <xf numFmtId="0" fontId="1" fillId="9" borderId="6" xfId="7" applyBorder="1"/>
    <xf numFmtId="0" fontId="1" fillId="9" borderId="7" xfId="7" applyBorder="1" applyAlignment="1">
      <alignment horizontal="center"/>
    </xf>
    <xf numFmtId="9" fontId="1" fillId="9" borderId="8" xfId="7" applyNumberFormat="1" applyBorder="1" applyAlignment="1">
      <alignment horizontal="center"/>
    </xf>
    <xf numFmtId="0" fontId="1" fillId="8" borderId="35" xfId="6" applyBorder="1" applyAlignment="1">
      <alignment horizontal="center"/>
    </xf>
    <xf numFmtId="0" fontId="1" fillId="8" borderId="36" xfId="6" applyBorder="1" applyAlignment="1">
      <alignment horizontal="center"/>
    </xf>
    <xf numFmtId="9" fontId="6" fillId="7" borderId="38" xfId="5" applyNumberFormat="1" applyBorder="1" applyAlignment="1">
      <alignment horizontal="center"/>
    </xf>
    <xf numFmtId="0" fontId="6" fillId="7" borderId="37" xfId="5" applyBorder="1" applyAlignment="1" applyProtection="1">
      <alignment horizontal="center"/>
      <protection locked="0"/>
    </xf>
    <xf numFmtId="164" fontId="0" fillId="4" borderId="17" xfId="0" applyNumberFormat="1" applyFill="1" applyBorder="1" applyAlignment="1" applyProtection="1">
      <alignment horizontal="center"/>
      <protection locked="0"/>
    </xf>
    <xf numFmtId="10" fontId="0" fillId="4" borderId="13" xfId="2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10" fontId="0" fillId="4" borderId="19" xfId="2" applyNumberFormat="1" applyFont="1" applyFill="1" applyBorder="1" applyAlignment="1" applyProtection="1">
      <alignment horizontal="center"/>
      <protection locked="0"/>
    </xf>
    <xf numFmtId="0" fontId="2" fillId="2" borderId="5" xfId="3" applyFont="1" applyBorder="1" applyAlignment="1" applyProtection="1">
      <alignment horizontal="center" vertical="center"/>
      <protection locked="0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39" xfId="0" applyFill="1" applyBorder="1" applyAlignment="1">
      <alignment horizontal="left"/>
    </xf>
    <xf numFmtId="0" fontId="0" fillId="4" borderId="40" xfId="0" applyFill="1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4" borderId="42" xfId="0" applyFill="1" applyBorder="1" applyAlignment="1">
      <alignment horizontal="left"/>
    </xf>
    <xf numFmtId="0" fontId="0" fillId="4" borderId="43" xfId="0" applyFill="1" applyBorder="1" applyAlignment="1">
      <alignment horizontal="left"/>
    </xf>
    <xf numFmtId="0" fontId="0" fillId="4" borderId="44" xfId="0" applyFill="1" applyBorder="1" applyAlignment="1">
      <alignment horizontal="left"/>
    </xf>
    <xf numFmtId="0" fontId="0" fillId="4" borderId="45" xfId="0" applyFill="1" applyBorder="1" applyAlignment="1">
      <alignment horizontal="left"/>
    </xf>
    <xf numFmtId="0" fontId="0" fillId="4" borderId="46" xfId="0" applyFill="1" applyBorder="1" applyAlignment="1">
      <alignment horizontal="left"/>
    </xf>
    <xf numFmtId="0" fontId="0" fillId="4" borderId="47" xfId="0" applyFill="1" applyBorder="1" applyAlignment="1">
      <alignment horizontal="left"/>
    </xf>
    <xf numFmtId="0" fontId="0" fillId="4" borderId="48" xfId="0" applyFill="1" applyBorder="1" applyAlignment="1">
      <alignment horizontal="left"/>
    </xf>
    <xf numFmtId="0" fontId="5" fillId="3" borderId="49" xfId="4" applyFont="1" applyBorder="1" applyAlignment="1">
      <alignment horizontal="center" vertical="center"/>
    </xf>
    <xf numFmtId="0" fontId="5" fillId="3" borderId="50" xfId="4" applyFont="1" applyBorder="1" applyAlignment="1">
      <alignment horizontal="center" vertical="center"/>
    </xf>
    <xf numFmtId="0" fontId="5" fillId="3" borderId="51" xfId="4" applyFont="1" applyBorder="1" applyAlignment="1">
      <alignment horizontal="center" vertical="center"/>
    </xf>
    <xf numFmtId="0" fontId="5" fillId="5" borderId="52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/>
    </xf>
    <xf numFmtId="0" fontId="5" fillId="3" borderId="55" xfId="4" applyFont="1" applyBorder="1" applyAlignment="1">
      <alignment horizontal="center" vertical="center"/>
    </xf>
    <xf numFmtId="0" fontId="5" fillId="3" borderId="56" xfId="4" applyFont="1" applyBorder="1" applyAlignment="1">
      <alignment horizontal="center" vertical="center"/>
    </xf>
    <xf numFmtId="0" fontId="0" fillId="0" borderId="0" xfId="0" applyFont="1"/>
    <xf numFmtId="0" fontId="2" fillId="2" borderId="3" xfId="3" applyFont="1" applyBorder="1" applyAlignment="1">
      <alignment horizontal="center" vertical="center"/>
    </xf>
    <xf numFmtId="0" fontId="2" fillId="2" borderId="4" xfId="3" applyFont="1" applyBorder="1" applyAlignment="1">
      <alignment horizontal="center" vertical="center"/>
    </xf>
  </cellXfs>
  <cellStyles count="8">
    <cellStyle name="20% - Ênfase4" xfId="3" builtinId="42"/>
    <cellStyle name="40% - Ênfase1" xfId="6" builtinId="31"/>
    <cellStyle name="40% - Ênfase3" xfId="7" builtinId="39"/>
    <cellStyle name="Ênfase6" xfId="4" builtinId="49"/>
    <cellStyle name="Moeda" xfId="1" builtinId="4"/>
    <cellStyle name="Neutra" xfId="5" builtinId="28"/>
    <cellStyle name="Normal" xfId="0" builtinId="0"/>
    <cellStyle name="Porcentagem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Planilha1!$B$16:$B$20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Planilha1!$D$16:$D$20</c:f>
              <c:numCache>
                <c:formatCode>"R$"\ #,##0.00</c:formatCode>
                <c:ptCount val="5"/>
                <c:pt idx="0">
                  <c:v>34306.810395032975</c:v>
                </c:pt>
                <c:pt idx="1">
                  <c:v>105558.91163809443</c:v>
                </c:pt>
                <c:pt idx="2">
                  <c:v>306538.10778801696</c:v>
                </c:pt>
                <c:pt idx="3">
                  <c:v>1417749.9841223215</c:v>
                </c:pt>
                <c:pt idx="4">
                  <c:v>5445933.7653059401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D-4365-8EB3-474F846D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755120"/>
        <c:axId val="1351941088"/>
      </c:scatterChart>
      <c:valAx>
        <c:axId val="14297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941088"/>
        <c:crosses val="autoZero"/>
        <c:crossBetween val="midCat"/>
      </c:valAx>
      <c:valAx>
        <c:axId val="13519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7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Planilha1!$C$26:$C$31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Planilha1!$D$26:$D$31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20A-8387-D4689A99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190500</xdr:rowOff>
    </xdr:from>
    <xdr:to>
      <xdr:col>12</xdr:col>
      <xdr:colOff>504825</xdr:colOff>
      <xdr:row>13</xdr:row>
      <xdr:rowOff>19050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14</xdr:row>
      <xdr:rowOff>19050</xdr:rowOff>
    </xdr:from>
    <xdr:to>
      <xdr:col>12</xdr:col>
      <xdr:colOff>514350</xdr:colOff>
      <xdr:row>26</xdr:row>
      <xdr:rowOff>190500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showGridLines="0" tabSelected="1" workbookViewId="0">
      <selection activeCell="G30" sqref="G30"/>
    </sheetView>
  </sheetViews>
  <sheetFormatPr defaultColWidth="0" defaultRowHeight="15" zeroHeight="1" x14ac:dyDescent="0.25"/>
  <cols>
    <col min="1" max="2" width="9.140625" customWidth="1"/>
    <col min="3" max="3" width="30.140625" bestFit="1" customWidth="1"/>
    <col min="4" max="4" width="19" bestFit="1" customWidth="1"/>
    <col min="5" max="5" width="15.85546875" bestFit="1" customWidth="1"/>
    <col min="6" max="6" width="12.42578125" bestFit="1" customWidth="1"/>
    <col min="7" max="10" width="9.140625" customWidth="1"/>
    <col min="11" max="11" width="9.42578125" customWidth="1"/>
    <col min="12" max="15" width="9.140625" customWidth="1"/>
    <col min="16" max="16384" width="9.140625" hidden="1"/>
  </cols>
  <sheetData>
    <row r="1" spans="2:5" x14ac:dyDescent="0.25"/>
    <row r="2" spans="2:5" ht="15.75" thickBot="1" x14ac:dyDescent="0.3"/>
    <row r="3" spans="2:5" ht="30" customHeight="1" thickTop="1" thickBot="1" x14ac:dyDescent="0.3">
      <c r="C3" s="67" t="s">
        <v>16</v>
      </c>
      <c r="D3" s="68"/>
      <c r="E3" s="69"/>
    </row>
    <row r="4" spans="2:5" ht="15.75" thickTop="1" x14ac:dyDescent="0.25">
      <c r="C4" s="58" t="s">
        <v>5</v>
      </c>
      <c r="D4" s="59"/>
      <c r="E4" s="46">
        <v>4200</v>
      </c>
    </row>
    <row r="5" spans="2:5" x14ac:dyDescent="0.25">
      <c r="C5" s="60" t="s">
        <v>6</v>
      </c>
      <c r="D5" s="61"/>
      <c r="E5" s="47">
        <v>6.0000000000000001E-3</v>
      </c>
    </row>
    <row r="6" spans="2:5" ht="15.75" thickBot="1" x14ac:dyDescent="0.3">
      <c r="C6" s="62" t="s">
        <v>34</v>
      </c>
      <c r="D6" s="63"/>
      <c r="E6" s="10">
        <f>E4*0.3</f>
        <v>1260</v>
      </c>
    </row>
    <row r="7" spans="2:5" ht="16.5" thickTop="1" thickBot="1" x14ac:dyDescent="0.3"/>
    <row r="8" spans="2:5" ht="30" customHeight="1" thickTop="1" thickBot="1" x14ac:dyDescent="0.3">
      <c r="C8" s="64" t="s">
        <v>17</v>
      </c>
      <c r="D8" s="65"/>
      <c r="E8" s="66"/>
    </row>
    <row r="9" spans="2:5" ht="15.75" thickTop="1" x14ac:dyDescent="0.25">
      <c r="C9" s="54" t="s">
        <v>1</v>
      </c>
      <c r="D9" s="55"/>
      <c r="E9" s="48">
        <v>1260</v>
      </c>
    </row>
    <row r="10" spans="2:5" x14ac:dyDescent="0.25">
      <c r="C10" s="56" t="s">
        <v>0</v>
      </c>
      <c r="D10" s="57"/>
      <c r="E10" s="49">
        <v>10</v>
      </c>
    </row>
    <row r="11" spans="2:5" x14ac:dyDescent="0.25">
      <c r="C11" s="56" t="s">
        <v>2</v>
      </c>
      <c r="D11" s="57"/>
      <c r="E11" s="50">
        <v>1.0789999999999999E-2</v>
      </c>
    </row>
    <row r="12" spans="2:5" x14ac:dyDescent="0.25">
      <c r="C12" s="56" t="s">
        <v>3</v>
      </c>
      <c r="D12" s="57"/>
      <c r="E12" s="11">
        <f>FV(E11,E10*12,E9*-1)</f>
        <v>306538.10778801696</v>
      </c>
    </row>
    <row r="13" spans="2:5" ht="15.75" thickBot="1" x14ac:dyDescent="0.3">
      <c r="C13" s="52" t="s">
        <v>4</v>
      </c>
      <c r="D13" s="53"/>
      <c r="E13" s="12">
        <f>E12*E5</f>
        <v>1839.2286467281017</v>
      </c>
    </row>
    <row r="14" spans="2:5" ht="16.5" thickTop="1" thickBot="1" x14ac:dyDescent="0.3"/>
    <row r="15" spans="2:5" ht="30" thickTop="1" thickBot="1" x14ac:dyDescent="0.3">
      <c r="C15" s="71" t="s">
        <v>10</v>
      </c>
      <c r="D15" s="72"/>
      <c r="E15" s="13" t="s">
        <v>35</v>
      </c>
    </row>
    <row r="16" spans="2:5" ht="15.75" thickTop="1" x14ac:dyDescent="0.25">
      <c r="B16" s="2">
        <v>2</v>
      </c>
      <c r="C16" s="14" t="s">
        <v>11</v>
      </c>
      <c r="D16" s="15">
        <f>FV($E$11,B16*12,$E$9*-1,)</f>
        <v>34306.810395032975</v>
      </c>
      <c r="E16" s="16">
        <f>D16*$E$5</f>
        <v>205.84086237019787</v>
      </c>
    </row>
    <row r="17" spans="2:5" x14ac:dyDescent="0.25">
      <c r="B17" s="2">
        <v>5</v>
      </c>
      <c r="C17" s="17" t="s">
        <v>12</v>
      </c>
      <c r="D17" s="18">
        <f>FV($E$11,B17*12,$E$9*-1,)</f>
        <v>105558.91163809443</v>
      </c>
      <c r="E17" s="19">
        <f>D17*$E$5</f>
        <v>633.35346982856663</v>
      </c>
    </row>
    <row r="18" spans="2:5" x14ac:dyDescent="0.25">
      <c r="B18" s="2">
        <v>10</v>
      </c>
      <c r="C18" s="17" t="s">
        <v>13</v>
      </c>
      <c r="D18" s="18">
        <f>FV($E$11,B18*12,$E$9*-1,)</f>
        <v>306538.10778801696</v>
      </c>
      <c r="E18" s="19">
        <f>D18*$E$5</f>
        <v>1839.2286467281017</v>
      </c>
    </row>
    <row r="19" spans="2:5" x14ac:dyDescent="0.25">
      <c r="B19" s="2">
        <v>20</v>
      </c>
      <c r="C19" s="17" t="s">
        <v>14</v>
      </c>
      <c r="D19" s="18">
        <f>FV($E$11,B19*12,$E$9*-1,)</f>
        <v>1417749.9841223215</v>
      </c>
      <c r="E19" s="19">
        <f>D19*$E$5</f>
        <v>8506.4999047339297</v>
      </c>
    </row>
    <row r="20" spans="2:5" ht="15.75" thickBot="1" x14ac:dyDescent="0.3">
      <c r="B20" s="2">
        <v>30</v>
      </c>
      <c r="C20" s="20" t="s">
        <v>15</v>
      </c>
      <c r="D20" s="21">
        <f>FV($E$11,B20*12,$E$9*-1,)</f>
        <v>5445933.7653059401</v>
      </c>
      <c r="E20" s="22">
        <f>D20*$E$5</f>
        <v>32675.602591835643</v>
      </c>
    </row>
    <row r="21" spans="2:5" ht="16.5" thickTop="1" thickBot="1" x14ac:dyDescent="0.3"/>
    <row r="22" spans="2:5" ht="15.75" thickTop="1" x14ac:dyDescent="0.25">
      <c r="C22" s="74" t="s">
        <v>7</v>
      </c>
      <c r="D22" s="75"/>
      <c r="E22" s="51" t="s">
        <v>8</v>
      </c>
    </row>
    <row r="23" spans="2:5" ht="15.75" thickBot="1" x14ac:dyDescent="0.3">
      <c r="C23" s="3" t="s">
        <v>9</v>
      </c>
      <c r="D23" s="4"/>
      <c r="E23" s="70">
        <f>E9</f>
        <v>1260</v>
      </c>
    </row>
    <row r="24" spans="2:5" ht="16.5" thickTop="1" thickBot="1" x14ac:dyDescent="0.3"/>
    <row r="25" spans="2:5" ht="16.5" thickTop="1" thickBot="1" x14ac:dyDescent="0.3">
      <c r="B25" s="73"/>
      <c r="C25" s="27" t="s">
        <v>18</v>
      </c>
      <c r="D25" s="28" t="s">
        <v>19</v>
      </c>
      <c r="E25" s="29" t="s">
        <v>20</v>
      </c>
    </row>
    <row r="26" spans="2:5" ht="15.75" thickTop="1" x14ac:dyDescent="0.25">
      <c r="C26" s="7" t="s">
        <v>21</v>
      </c>
      <c r="D26" s="24">
        <f>VLOOKUP($E$22&amp;"-"&amp;C26,Planilha2!$B:$E,4,FALSE)</f>
        <v>0.32</v>
      </c>
      <c r="E26" s="5">
        <f>$E$23*D26</f>
        <v>403.2</v>
      </c>
    </row>
    <row r="27" spans="2:5" x14ac:dyDescent="0.25">
      <c r="C27" s="8" t="s">
        <v>22</v>
      </c>
      <c r="D27" s="25">
        <f>VLOOKUP($E$22&amp;"-"&amp;C27,Planilha2!$B:$E,4,FALSE)</f>
        <v>0.35</v>
      </c>
      <c r="E27" s="6">
        <f>$E$23*D27</f>
        <v>441</v>
      </c>
    </row>
    <row r="28" spans="2:5" x14ac:dyDescent="0.25">
      <c r="C28" s="8" t="s">
        <v>23</v>
      </c>
      <c r="D28" s="25">
        <f>VLOOKUP($E$22&amp;"-"&amp;C28,Planilha2!$B:$E,4,FALSE)</f>
        <v>0.08</v>
      </c>
      <c r="E28" s="6">
        <f>$E$23*D28</f>
        <v>100.8</v>
      </c>
    </row>
    <row r="29" spans="2:5" x14ac:dyDescent="0.25">
      <c r="C29" s="8" t="s">
        <v>24</v>
      </c>
      <c r="D29" s="25">
        <f>VLOOKUP($E$22&amp;"-"&amp;C29,Planilha2!$B:$E,4,FALSE)</f>
        <v>0.05</v>
      </c>
      <c r="E29" s="6">
        <f>$E$23*D29</f>
        <v>63</v>
      </c>
    </row>
    <row r="30" spans="2:5" x14ac:dyDescent="0.25">
      <c r="C30" s="8" t="s">
        <v>25</v>
      </c>
      <c r="D30" s="25">
        <f>VLOOKUP($E$22&amp;"-"&amp;C30,Planilha2!$B:$E,4,FALSE)</f>
        <v>0.1</v>
      </c>
      <c r="E30" s="6">
        <f>$E$23*D30</f>
        <v>126</v>
      </c>
    </row>
    <row r="31" spans="2:5" x14ac:dyDescent="0.25">
      <c r="C31" s="8" t="s">
        <v>26</v>
      </c>
      <c r="D31" s="25">
        <f>VLOOKUP($E$22&amp;"-"&amp;C31,Planilha2!$B:$E,4,FALSE)</f>
        <v>0.1</v>
      </c>
      <c r="E31" s="6">
        <f>$E$23*D31</f>
        <v>126</v>
      </c>
    </row>
    <row r="32" spans="2:5" ht="15.75" thickBot="1" x14ac:dyDescent="0.3">
      <c r="C32" s="9" t="s">
        <v>27</v>
      </c>
      <c r="D32" s="26"/>
      <c r="E32" s="23">
        <f>SUM(E26:E31)</f>
        <v>1260</v>
      </c>
    </row>
    <row r="33" ht="15.75" thickTop="1" x14ac:dyDescent="0.25"/>
    <row r="34" x14ac:dyDescent="0.25"/>
    <row r="35" x14ac:dyDescent="0.25"/>
    <row r="36" x14ac:dyDescent="0.25"/>
    <row r="37" x14ac:dyDescent="0.25"/>
    <row r="38" x14ac:dyDescent="0.25"/>
  </sheetData>
  <sheetProtection selectLockedCells="1"/>
  <mergeCells count="12">
    <mergeCell ref="C22:D22"/>
    <mergeCell ref="C8:E8"/>
    <mergeCell ref="C13:D13"/>
    <mergeCell ref="C3:E3"/>
    <mergeCell ref="C9:D9"/>
    <mergeCell ref="C10:D10"/>
    <mergeCell ref="C11:D11"/>
    <mergeCell ref="C12:D12"/>
    <mergeCell ref="C4:D4"/>
    <mergeCell ref="C5:D5"/>
    <mergeCell ref="C6:D6"/>
    <mergeCell ref="C15:D15"/>
  </mergeCells>
  <dataValidations count="1">
    <dataValidation type="list" allowBlank="1" showInputMessage="1" showErrorMessage="1" sqref="E22">
      <formula1>"Moderado,Consevador,Agressivo"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8"/>
  <sheetViews>
    <sheetView showGridLines="0" zoomScaleNormal="100" workbookViewId="0">
      <selection activeCell="G8" sqref="G8"/>
    </sheetView>
  </sheetViews>
  <sheetFormatPr defaultColWidth="0" defaultRowHeight="15" zeroHeight="1" x14ac:dyDescent="0.25"/>
  <cols>
    <col min="1" max="1" width="9.140625" customWidth="1"/>
    <col min="2" max="2" width="30.5703125" bestFit="1" customWidth="1"/>
    <col min="3" max="4" width="19" bestFit="1" customWidth="1"/>
    <col min="5" max="5" width="9" customWidth="1"/>
    <col min="6" max="6" width="9.140625" customWidth="1"/>
    <col min="7" max="7" width="30.5703125" bestFit="1" customWidth="1"/>
    <col min="8" max="8" width="9" customWidth="1"/>
    <col min="9" max="9" width="9.140625" customWidth="1"/>
    <col min="10" max="16384" width="9.140625" hidden="1"/>
  </cols>
  <sheetData>
    <row r="1" spans="2:8" x14ac:dyDescent="0.25"/>
    <row r="2" spans="2:8" x14ac:dyDescent="0.25"/>
    <row r="3" spans="2:8" x14ac:dyDescent="0.25"/>
    <row r="4" spans="2:8" x14ac:dyDescent="0.25"/>
    <row r="5" spans="2:8" x14ac:dyDescent="0.25"/>
    <row r="6" spans="2:8" ht="15.75" thickBot="1" x14ac:dyDescent="0.3"/>
    <row r="7" spans="2:8" ht="15.75" thickTop="1" x14ac:dyDescent="0.25">
      <c r="B7" s="31" t="s">
        <v>32</v>
      </c>
      <c r="C7" s="32" t="s">
        <v>31</v>
      </c>
      <c r="D7" s="32" t="s">
        <v>30</v>
      </c>
      <c r="E7" s="33" t="s">
        <v>29</v>
      </c>
      <c r="G7" s="42" t="s">
        <v>32</v>
      </c>
      <c r="H7" s="43" t="s">
        <v>29</v>
      </c>
    </row>
    <row r="8" spans="2:8" ht="15.75" thickBot="1" x14ac:dyDescent="0.3">
      <c r="B8" s="34" t="str">
        <f>C8&amp;"-"&amp;D8</f>
        <v>Consevador-PAPEL</v>
      </c>
      <c r="C8" s="35" t="s">
        <v>28</v>
      </c>
      <c r="D8" s="35" t="s">
        <v>21</v>
      </c>
      <c r="E8" s="36">
        <v>0.3</v>
      </c>
      <c r="G8" s="45" t="s">
        <v>36</v>
      </c>
      <c r="H8" s="44">
        <f>VLOOKUP(G8,$B:$E,4,FALSE)</f>
        <v>0.5</v>
      </c>
    </row>
    <row r="9" spans="2:8" ht="15.75" thickTop="1" x14ac:dyDescent="0.25">
      <c r="B9" s="34" t="str">
        <f t="shared" ref="B9:B25" si="0">C9&amp;"-"&amp;D9</f>
        <v>Consevador-TIJOLO</v>
      </c>
      <c r="C9" s="35" t="s">
        <v>28</v>
      </c>
      <c r="D9" s="35" t="s">
        <v>22</v>
      </c>
      <c r="E9" s="36">
        <v>0.5</v>
      </c>
    </row>
    <row r="10" spans="2:8" x14ac:dyDescent="0.25">
      <c r="B10" s="34" t="str">
        <f t="shared" si="0"/>
        <v>Consevador-HIBRIDOS</v>
      </c>
      <c r="C10" s="35" t="s">
        <v>28</v>
      </c>
      <c r="D10" s="35" t="s">
        <v>23</v>
      </c>
      <c r="E10" s="36">
        <v>0.1</v>
      </c>
    </row>
    <row r="11" spans="2:8" x14ac:dyDescent="0.25">
      <c r="B11" s="34" t="str">
        <f t="shared" si="0"/>
        <v>Consevador-FOFs</v>
      </c>
      <c r="C11" s="35" t="s">
        <v>28</v>
      </c>
      <c r="D11" s="35" t="s">
        <v>24</v>
      </c>
      <c r="E11" s="36">
        <v>0.1</v>
      </c>
      <c r="H11" s="1"/>
    </row>
    <row r="12" spans="2:8" x14ac:dyDescent="0.25">
      <c r="B12" s="34" t="str">
        <f t="shared" si="0"/>
        <v>Consevador-DESENVOLVIMENTO</v>
      </c>
      <c r="C12" s="35" t="s">
        <v>28</v>
      </c>
      <c r="D12" s="35" t="s">
        <v>25</v>
      </c>
      <c r="E12" s="36">
        <v>0</v>
      </c>
    </row>
    <row r="13" spans="2:8" ht="15.75" thickBot="1" x14ac:dyDescent="0.3">
      <c r="B13" s="37" t="str">
        <f t="shared" si="0"/>
        <v>Consevador-HOTELARIAS</v>
      </c>
      <c r="C13" s="30" t="s">
        <v>28</v>
      </c>
      <c r="D13" s="30" t="s">
        <v>26</v>
      </c>
      <c r="E13" s="38">
        <v>0</v>
      </c>
    </row>
    <row r="14" spans="2:8" x14ac:dyDescent="0.25">
      <c r="B14" s="34" t="str">
        <f t="shared" si="0"/>
        <v>Moderado-PAPEL</v>
      </c>
      <c r="C14" s="35" t="s">
        <v>8</v>
      </c>
      <c r="D14" s="35" t="s">
        <v>21</v>
      </c>
      <c r="E14" s="36">
        <v>0.32</v>
      </c>
    </row>
    <row r="15" spans="2:8" x14ac:dyDescent="0.25">
      <c r="B15" s="34" t="str">
        <f t="shared" si="0"/>
        <v>Moderado-TIJOLO</v>
      </c>
      <c r="C15" s="35" t="s">
        <v>8</v>
      </c>
      <c r="D15" s="35" t="s">
        <v>22</v>
      </c>
      <c r="E15" s="36">
        <v>0.35</v>
      </c>
    </row>
    <row r="16" spans="2:8" x14ac:dyDescent="0.25">
      <c r="B16" s="34" t="str">
        <f t="shared" si="0"/>
        <v>Moderado-HIBRIDOS</v>
      </c>
      <c r="C16" s="35" t="s">
        <v>8</v>
      </c>
      <c r="D16" s="35" t="s">
        <v>23</v>
      </c>
      <c r="E16" s="36">
        <v>0.08</v>
      </c>
    </row>
    <row r="17" spans="2:5" x14ac:dyDescent="0.25">
      <c r="B17" s="34" t="str">
        <f t="shared" si="0"/>
        <v>Moderado-FOFs</v>
      </c>
      <c r="C17" s="35" t="s">
        <v>8</v>
      </c>
      <c r="D17" s="35" t="s">
        <v>24</v>
      </c>
      <c r="E17" s="36">
        <v>0.05</v>
      </c>
    </row>
    <row r="18" spans="2:5" x14ac:dyDescent="0.25">
      <c r="B18" s="34" t="str">
        <f t="shared" si="0"/>
        <v>Moderado-DESENVOLVIMENTO</v>
      </c>
      <c r="C18" s="35" t="s">
        <v>8</v>
      </c>
      <c r="D18" s="35" t="s">
        <v>25</v>
      </c>
      <c r="E18" s="36">
        <v>0.1</v>
      </c>
    </row>
    <row r="19" spans="2:5" ht="15.75" thickBot="1" x14ac:dyDescent="0.3">
      <c r="B19" s="37" t="str">
        <f t="shared" si="0"/>
        <v>Moderado-HOTELARIAS</v>
      </c>
      <c r="C19" s="30" t="s">
        <v>8</v>
      </c>
      <c r="D19" s="30" t="s">
        <v>26</v>
      </c>
      <c r="E19" s="38">
        <v>0.1</v>
      </c>
    </row>
    <row r="20" spans="2:5" x14ac:dyDescent="0.25">
      <c r="B20" s="34" t="str">
        <f t="shared" si="0"/>
        <v>Agressivo-PAPEL</v>
      </c>
      <c r="C20" s="35" t="s">
        <v>33</v>
      </c>
      <c r="D20" s="35" t="s">
        <v>21</v>
      </c>
      <c r="E20" s="36">
        <v>0.5</v>
      </c>
    </row>
    <row r="21" spans="2:5" x14ac:dyDescent="0.25">
      <c r="B21" s="34" t="str">
        <f t="shared" si="0"/>
        <v>Agressivo-TIJOLO</v>
      </c>
      <c r="C21" s="35" t="s">
        <v>33</v>
      </c>
      <c r="D21" s="35" t="s">
        <v>22</v>
      </c>
      <c r="E21" s="36">
        <v>0.1</v>
      </c>
    </row>
    <row r="22" spans="2:5" x14ac:dyDescent="0.25">
      <c r="B22" s="34" t="str">
        <f t="shared" si="0"/>
        <v>Agressivo-HIBRIDOS</v>
      </c>
      <c r="C22" s="35" t="s">
        <v>33</v>
      </c>
      <c r="D22" s="35" t="s">
        <v>23</v>
      </c>
      <c r="E22" s="36">
        <v>0.05</v>
      </c>
    </row>
    <row r="23" spans="2:5" x14ac:dyDescent="0.25">
      <c r="B23" s="34" t="str">
        <f t="shared" si="0"/>
        <v>Agressivo-FOFs</v>
      </c>
      <c r="C23" s="35" t="s">
        <v>33</v>
      </c>
      <c r="D23" s="35" t="s">
        <v>24</v>
      </c>
      <c r="E23" s="36">
        <v>0.05</v>
      </c>
    </row>
    <row r="24" spans="2:5" x14ac:dyDescent="0.25">
      <c r="B24" s="34" t="str">
        <f t="shared" si="0"/>
        <v>Agressivo-DESENVOLVIMENTO</v>
      </c>
      <c r="C24" s="35" t="s">
        <v>33</v>
      </c>
      <c r="D24" s="35" t="s">
        <v>25</v>
      </c>
      <c r="E24" s="36">
        <v>0.2</v>
      </c>
    </row>
    <row r="25" spans="2:5" ht="15.75" thickBot="1" x14ac:dyDescent="0.3">
      <c r="B25" s="39" t="str">
        <f t="shared" si="0"/>
        <v>Agressivo-HOTELARIAS</v>
      </c>
      <c r="C25" s="40" t="s">
        <v>33</v>
      </c>
      <c r="D25" s="40" t="s">
        <v>26</v>
      </c>
      <c r="E25" s="41">
        <v>0.1</v>
      </c>
    </row>
    <row r="26" spans="2:5" ht="15.75" thickTop="1" x14ac:dyDescent="0.25"/>
    <row r="27" spans="2:5" x14ac:dyDescent="0.25"/>
    <row r="28" spans="2:5" x14ac:dyDescent="0.25"/>
  </sheetData>
  <sheetProtection sheet="1" selectLockedCells="1"/>
  <conditionalFormatting sqref="B8:E25">
    <cfRule type="expression" dxfId="0" priority="1">
      <formula>$G$8=$B8:$E8</formula>
    </cfRule>
  </conditionalFormatting>
  <dataValidations count="1">
    <dataValidation type="list" allowBlank="1" showInputMessage="1" showErrorMessage="1" sqref="G8">
      <formula1>$B$8:$B$25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Salário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cp:lastPrinted>2026-01-12T17:35:25Z</cp:lastPrinted>
  <dcterms:created xsi:type="dcterms:W3CDTF">2026-01-06T18:39:47Z</dcterms:created>
  <dcterms:modified xsi:type="dcterms:W3CDTF">2026-01-13T19:07:46Z</dcterms:modified>
</cp:coreProperties>
</file>